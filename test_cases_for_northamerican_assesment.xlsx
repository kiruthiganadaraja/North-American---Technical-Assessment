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irut\Downloads\"/>
    </mc:Choice>
  </mc:AlternateContent>
  <xr:revisionPtr revIDLastSave="0" documentId="8_{F9DF4079-01D5-4DA3-BD6A-6A31F35A16A2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Test Cases" sheetId="1" r:id="rId1"/>
    <sheet name="Summary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6" i="2" l="1"/>
  <c r="B15" i="2"/>
  <c r="B14" i="2"/>
  <c r="B13" i="2"/>
  <c r="B10" i="2"/>
  <c r="B9" i="2"/>
  <c r="B8" i="2"/>
  <c r="B5" i="2"/>
  <c r="B4" i="2"/>
  <c r="B3" i="2"/>
</calcChain>
</file>

<file path=xl/sharedStrings.xml><?xml version="1.0" encoding="utf-8"?>
<sst xmlns="http://schemas.openxmlformats.org/spreadsheetml/2006/main" count="302" uniqueCount="205">
  <si>
    <t>TC ID</t>
  </si>
  <si>
    <t>Category</t>
  </si>
  <si>
    <t>Priority</t>
  </si>
  <si>
    <t>Preconditions</t>
  </si>
  <si>
    <t>Test Steps</t>
  </si>
  <si>
    <t>Test Data (Input)</t>
  </si>
  <si>
    <t>Expected Result</t>
  </si>
  <si>
    <t>Automated?</t>
  </si>
  <si>
    <t>Automated Test Ref</t>
  </si>
  <si>
    <t>Status</t>
  </si>
  <si>
    <t>Actual Result / Notes</t>
  </si>
  <si>
    <t>TC-01</t>
  </si>
  <si>
    <t>Functional - Happy Path</t>
  </si>
  <si>
    <t>Baseline rebalance with mixed buy/sell/hold</t>
  </si>
  <si>
    <t>High</t>
  </si>
  <si>
    <t>Account ABC exists with $100,000 total assets, 100% vested, 5 holdings as specified</t>
  </si>
  <si>
    <t>1. Load Account ABC portfolio
2. Run rebalance calculation
3. Review output for each security</t>
  </si>
  <si>
    <t>IBM 20/10 @150 | MSFT 20/20 @90 | ORCL 20/30 @220 | AAPL 20/20 @450 | HD 20/20 @70 | Total=$100,000</t>
  </si>
  <si>
    <t>IBM: BUY 67 shares | MSFT: HOLD 0 | ORCL: SELL 45 shares | AAPL: HOLD 0 | HD: HOLD 0</t>
  </si>
  <si>
    <t>Y</t>
  </si>
  <si>
    <t>test_TC01_baseline_happy_path</t>
  </si>
  <si>
    <t>Not Run</t>
  </si>
  <si>
    <t>TC-02</t>
  </si>
  <si>
    <t>Functional - Boundary</t>
  </si>
  <si>
    <t>All holdings already at target (zero variance)</t>
  </si>
  <si>
    <t>Account exists, all current% equal to target%</t>
  </si>
  <si>
    <t>1. Set current% = target% for every security
2. Run rebalance calculation</t>
  </si>
  <si>
    <t>5 securities, each target%=current%=20%</t>
  </si>
  <si>
    <t>Every security returns 0 shares and action = HOLD</t>
  </si>
  <si>
    <t>test_TC02_all_on_target_produces_no_trades</t>
  </si>
  <si>
    <t>TC-03</t>
  </si>
  <si>
    <t>Fully underweight single security (0% -&gt; 100% target)</t>
  </si>
  <si>
    <t>Medium</t>
  </si>
  <si>
    <t>Account holds only one security, currently at 0%</t>
  </si>
  <si>
    <t>1. Set target%=100, current%=0 for the single holding
2. Run rebalance calculation</t>
  </si>
  <si>
    <t>1 security, target=100%, current=0%, price=$150, total=$100,000</t>
  </si>
  <si>
    <t>BUY round($100,000 / $150) = 667 shares</t>
  </si>
  <si>
    <t>test_TC03_single_security_fully_underweight</t>
  </si>
  <si>
    <t>TC-04</t>
  </si>
  <si>
    <t>Negative / Error Handling</t>
  </si>
  <si>
    <t>Total assets = 0 or negative</t>
  </si>
  <si>
    <t>N/A</t>
  </si>
  <si>
    <t>1. Set account total assets to $0 (and separately to a negative value)
2. Run rebalance calculation</t>
  </si>
  <si>
    <t>total_assets = 0, and total_assets = -100000</t>
  </si>
  <si>
    <t>Calculation is rejected with a clear validation error; no divide-by-zero, no NaN/Infinity in output</t>
  </si>
  <si>
    <t>test_TC04_zero_total_assets_raises_value_error / test_TC04b</t>
  </si>
  <si>
    <t>TC-05</t>
  </si>
  <si>
    <t>Unit price = $0 for a security</t>
  </si>
  <si>
    <t>1. Set one security's unit price to $0
2. Run rebalance calculation</t>
  </si>
  <si>
    <t>unit_price = 0 for IBM, others normal</t>
  </si>
  <si>
    <t>Calculation is rejected with a clear validation error for that security; no divide-by-zero</t>
  </si>
  <si>
    <t>test_TC05_zero_unit_price_raises_value_error</t>
  </si>
  <si>
    <t>TC-06</t>
  </si>
  <si>
    <t>Negative unit price (bad price feed data)</t>
  </si>
  <si>
    <t>1. Set one security's unit price to a negative value
2. Run rebalance calculation</t>
  </si>
  <si>
    <t>unit_price = -150 for IBM</t>
  </si>
  <si>
    <t>Calculation is rejected with a validation error; negative price never silently flips buy/sell sign</t>
  </si>
  <si>
    <t>test_TC06_negative_unit_price_raises_value_error</t>
  </si>
  <si>
    <t>TC-07</t>
  </si>
  <si>
    <t>Data Integrity</t>
  </si>
  <si>
    <t>Target percentages across account do not sum to 100%</t>
  </si>
  <si>
    <t>1. Configure target% values that sum to 90% (or 110%) across holdings
2. Run rebalance / integrity check</t>
  </si>
  <si>
    <t>3 securities, targets = 30/30/30 (sums to 90)</t>
  </si>
  <si>
    <t>App flags the allocation as not summing to 100% (warning/report), and documented behavior for whether calculation still proceeds is followed</t>
  </si>
  <si>
    <t>test_TC07_target_percentages_not_summing_to_100_is_flagged_not_fatal</t>
  </si>
  <si>
    <t>TC-08</t>
  </si>
  <si>
    <t>Current percentages across account do not sum to 100%</t>
  </si>
  <si>
    <t>1. Configure current% values that sum to less than 100% across holdings
2. Run rebalance / integrity check</t>
  </si>
  <si>
    <t>2 securities, current = 10/10 (sums to 20)</t>
  </si>
  <si>
    <t>App flags the allocation as not summing to 100% (data quality issue upstream of this calculation)</t>
  </si>
  <si>
    <t>test_TC08_current_percentages_not_summing_to_100_is_flagged</t>
  </si>
  <si>
    <t>TC-09</t>
  </si>
  <si>
    <t>Dollar variance smaller than one share's price</t>
  </si>
  <si>
    <t>Account exists with a high-priced security</t>
  </si>
  <si>
    <t>1. Set variance so dollar_diff &lt; unit_price (e.g. ~$5 diff on a $450 stock)
2. Run rebalance calculation</t>
  </si>
  <si>
    <t>AAPL target=20.005%, current=20%, price=$450, total=$100,000</t>
  </si>
  <si>
    <t>Rounded shares = 0, action = HOLD, but raw (unrounded) variance is still visible/available, not silently discarded</t>
  </si>
  <si>
    <t>test_TC09_sub_share_variance_rounds_to_zero</t>
  </si>
  <si>
    <t>TC-10</t>
  </si>
  <si>
    <t>Functional - Rounding</t>
  </si>
  <si>
    <t>Fractional share rounding boundary behavior</t>
  </si>
  <si>
    <t>1. Run several cases producing fractional share counts (e.g. x.5, x.667, x.4545)
2. Compare rounded output to documented rounding rule</t>
  </si>
  <si>
    <t>current=10/target=20/price=150 -&gt; 66.667 | current=30/target=20/price=220 -&gt; -45.4545</t>
  </si>
  <si>
    <t>66.667 rounds to 67 shares (BUY); -45.4545 rounds to -45 shares (SELL); rounding rule matches spec documented for the app</t>
  </si>
  <si>
    <t>test_TC10_rounding_boundaries (parametrized)</t>
  </si>
  <si>
    <t>TC-11</t>
  </si>
  <si>
    <t>Functional - Edge Case</t>
  </si>
  <si>
    <t>All holdings overweight (no underweight positions)</t>
  </si>
  <si>
    <t>Account where every security's current% exceeds its target%</t>
  </si>
  <si>
    <t>1. Configure all securities as overweight
2. Run rebalance calculation</t>
  </si>
  <si>
    <t>2 securities, both current% &gt; target%</t>
  </si>
  <si>
    <t>IBM: SELL 67 shares | MSFT: SELL 111 shares (every line returns SELL; no BUY actions appear; app does not assume trades are self-funding/net-zero)</t>
  </si>
  <si>
    <t>test_TC11_all_overweight_produces_only_sells</t>
  </si>
  <si>
    <t>TC-12</t>
  </si>
  <si>
    <t>Negative target% or current% (invalid input)</t>
  </si>
  <si>
    <t>1. Set target% (or current%) to a negative value
2. Run rebalance calculation</t>
  </si>
  <si>
    <t>target_pct = -5 for one security</t>
  </si>
  <si>
    <t>Calculation is rejected with a clear validation error</t>
  </si>
  <si>
    <t>test_TC12_negative_percentage_raises_value_error</t>
  </si>
  <si>
    <t>TC-13</t>
  </si>
  <si>
    <t>Empty portfolio (no securities held)</t>
  </si>
  <si>
    <t>Low</t>
  </si>
  <si>
    <t>Account exists but holds zero securities</t>
  </si>
  <si>
    <t>1. Run rebalance calculation against an account with no holdings</t>
  </si>
  <si>
    <t>securities = [] , total_assets = 100000</t>
  </si>
  <si>
    <t>App returns an empty result set gracefully; no crash/exception</t>
  </si>
  <si>
    <t>test_TC13_empty_portfolio_returns_empty_list</t>
  </si>
  <si>
    <t>TC-14</t>
  </si>
  <si>
    <t>Non-Functional - Scale/Precision</t>
  </si>
  <si>
    <t>Large-scale account with decimal prices</t>
  </si>
  <si>
    <t>Account exists with a large total asset value and non-round prices</t>
  </si>
  <si>
    <t>1. Set total assets to a large value (e.g. $50,000,000) with decimal unit prices
2. Run rebalance calculation</t>
  </si>
  <si>
    <t>total_assets = 50,000,000; prices = 150.37 / 220.81</t>
  </si>
  <si>
    <t>IBM: BUY 33,251 shares | ORCL: SELL 22,644 shares (no overflow, no precision loss, no NaN; exact share counts remain correct at scale)</t>
  </si>
  <si>
    <t>test_TC14_large_scale_account_precision</t>
  </si>
  <si>
    <t>TC-15</t>
  </si>
  <si>
    <t>Non-Functional - Reconciliation</t>
  </si>
  <si>
    <t>Rounding drift across a multi-security rebalance stays within tolerance</t>
  </si>
  <si>
    <t>Account exists with multiple securities needing rebalancing</t>
  </si>
  <si>
    <t>1. Run full baseline rebalance
2. Sum total $ bought vs total $ sold after rounding to whole shares
3. Compare the difference to agreed tolerance</t>
  </si>
  <si>
    <t>Baseline 5-security portfolio (see TC-01)</t>
  </si>
  <si>
    <t>abs(total buy $ - total sell $) stays within agreed tolerance (e.g. &lt; $500) after rounding</t>
  </si>
  <si>
    <t>test_TC15_rounding_drift_within_tolerance</t>
  </si>
  <si>
    <t>TC-16</t>
  </si>
  <si>
    <t>Functional - Sign Logic</t>
  </si>
  <si>
    <t>Variance sign always matches recommended action</t>
  </si>
  <si>
    <t>1. Run a range of current%/target% combinations
2. For each, confirm variance sign matches BUY/SELL/HOLD action</t>
  </si>
  <si>
    <t>price=$100, total=$100,000 for every pair: (current=10,target=20) | (current=30,target=20) | (current=20,target=20) | (current=0,target=100) | (current=100,target=0)</t>
  </si>
  <si>
    <t>(10,20) -&gt; BUY 100 shares | (30,20) -&gt; SELL 100 shares | (20,20) -&gt; HOLD 0 | (0,100) -&gt; BUY 1,000 shares | (100,0) -&gt; SELL 1,000 shares (variance sign always matches action direction, exact magnitude also correct)</t>
  </si>
  <si>
    <t>test_variance_sign_matches_action (parametrized)</t>
  </si>
  <si>
    <t>TC-17</t>
  </si>
  <si>
    <t>UI / Presentation (manual only)</t>
  </si>
  <si>
    <t>Output values display in correct currency/share formatting</t>
  </si>
  <si>
    <t>Rebalance has been run and results are shown in the UI</t>
  </si>
  <si>
    <t>1. Visually inspect the output table
2. Confirm share counts show as whole numbers, not decimals
3. Confirm buy vs sell is visually distinguishable (label, color, or sign)</t>
  </si>
  <si>
    <t>Any completed rebalance run</t>
  </si>
  <si>
    <t>Shares display as whole numbers; buy/sell direction is unambiguous to the reader</t>
  </si>
  <si>
    <t>N</t>
  </si>
  <si>
    <t>(manual/UI only - no automated equivalent)</t>
  </si>
  <si>
    <t>TC-18</t>
  </si>
  <si>
    <t>User can re-run rebalance after correcting a flagged data error</t>
  </si>
  <si>
    <t>A data integrity error (TC-07/TC-08 style) was flagged</t>
  </si>
  <si>
    <t>1. Trigger a data integrity warning
2. Correct the underlying percentages
3. Re-run the calculation
4. Confirm results now compute cleanly</t>
  </si>
  <si>
    <t>Corrected portfolio data</t>
  </si>
  <si>
    <t>Warning clears; rebalance recalculates correctly with no residual error state</t>
  </si>
  <si>
    <t>(manual/workflow only - no automated equivalent)</t>
  </si>
  <si>
    <t>TC-19</t>
  </si>
  <si>
    <t>Full portfolio where every security needs a trade</t>
  </si>
  <si>
    <t>Account ABC exists with $100,000 total assets; every security's current% differs from its 20% target%</t>
  </si>
  <si>
    <t>1. Load a portfolio where all 5 securities are off target (mix of buy and sell)
2. Run rebalance calculation
3. Verify every line's share count against hand-calculated expected values</t>
  </si>
  <si>
    <t>IBM 20/15 @$150 | MSFT 20/28 @$90 | ORCL 20/10 @$220 | AAPL 20/23 @$450 | HD 20/24 @$70 | Total=$100,000</t>
  </si>
  <si>
    <t>IBM: BUY 33 shares | MSFT: SELL 89 shares | ORCL: BUY 45 shares | AAPL: SELL 7 shares | HD: SELL 57 shares</t>
  </si>
  <si>
    <t>test_TC19_full_portfolio_all_lines_trade</t>
  </si>
  <si>
    <t>TC-20</t>
  </si>
  <si>
    <t>Functional - Scale Invariance</t>
  </si>
  <si>
    <t>Same target/current % structure at a different total asset value</t>
  </si>
  <si>
    <t>Account ABC's target%/current%/prices are identical to the TC-01 baseline, only total assets changed</t>
  </si>
  <si>
    <t>1. Reuse the TC-01 baseline percentages and prices
2. Change total assets from $100,000 to $250,000
3. Run rebalance calculation
4. Confirm dollar amounts and share counts scale correctly and actions (BUY/SELL/HOLD) stay identical to TC-01</t>
  </si>
  <si>
    <t>Same as TC-01 (IBM 20/10 @150, MSFT 20/20 @90, ORCL 20/30 @220, AAPL 20/20 @450, HD 20/20 @70), but total=$250,000</t>
  </si>
  <si>
    <t>IBM: BUY 167 shares | MSFT: HOLD 0 | ORCL: SELL 114 shares | AAPL: HOLD 0 | HD: HOLD 0 (same actions as TC-01; dollar/share magnitudes scale by 2.5x, not hardcoded to $100,000)</t>
  </si>
  <si>
    <t>test_TC20_scale_invariance</t>
  </si>
  <si>
    <t>TC-21</t>
  </si>
  <si>
    <t>API / Contract (manual only)</t>
  </si>
  <si>
    <t>Valid request returns correct response schema and types</t>
  </si>
  <si>
    <t>A REST endpoint (e.g. POST /accounts/{id}/rebalance) exposes this calculation; Account ABC exists with the TC-01 baseline data</t>
  </si>
  <si>
    <t>1. Send a valid rebalance request for Account ABC
2. Inspect the HTTP response
3. Validate status code, JSON structure, and field types against the documented API contract</t>
  </si>
  <si>
    <t>Same input as TC-01 baseline (5 securities, $100,000 total)</t>
  </si>
  <si>
    <t>HTTP 200; JSON array, one object per security, with symbol (string), targetPct/currentPct/variancePct/unitPrice (numbers), sharesToTrade (signed integer), action (string enum BUY/SELL/HOLD); values match TC-01's expected numbers; no missing or undocumented extra fields</t>
  </si>
  <si>
    <t>Blocked - no live API endpoint in this reference project. An adapter-based automated version was built and then deliberately reverted: testing a hand-built mock proves the mock is internally consistent, not that a real endpoint behaves correctly. Automate via requests/pytest or Postman/Newman once a real endpoint exists.</t>
  </si>
  <si>
    <t>Blocked</t>
  </si>
  <si>
    <t>TC-22</t>
  </si>
  <si>
    <t>Invalid business data returns a clean 400, not a 500</t>
  </si>
  <si>
    <t>Same API endpoint as TC-21</t>
  </si>
  <si>
    <t>1. Send a rebalance request with a negative or zero unit price
2. Inspect the HTTP response</t>
  </si>
  <si>
    <t>Same invalid price data as TC-05 / TC-06 (unit_price = 0 or negative)</t>
  </si>
  <si>
    <t>HTTP 400 Bad Request with a structured, readable error identifying the offending field (e.g. {"error":"unit_price must be positive","field":"unit_price"}); no HTTP 500, no raw stack trace or internal exception text exposed to the caller</t>
  </si>
  <si>
    <t>TC-23</t>
  </si>
  <si>
    <t>Malformed request (missing/wrong-type field) returns 400</t>
  </si>
  <si>
    <t>1. Send a request missing a required field (e.g. unit_price omitted) or with a wrong JSON type (e.g. "unit_price": "abc")
2. Inspect the HTTP response</t>
  </si>
  <si>
    <t>Request body missing unit_price, and separately a request with unit_price as a string</t>
  </si>
  <si>
    <t>HTTP 400 with a descriptive validation error naming the malformed/missing field; request is rejected before it ever reaches the calculation logic</t>
  </si>
  <si>
    <t>TC-24</t>
  </si>
  <si>
    <t>Repeated identical calls are idempotent</t>
  </si>
  <si>
    <t>1. Send the same valid rebalance request twice in a row
2. Compare both responses
3. Confirm calling the calculation endpoint itself does not place or queue duplicate trade orders</t>
  </si>
  <si>
    <t>Same input as TC-01 baseline, sent twice</t>
  </si>
  <si>
    <t>Both responses are identical in every share/action value; if this is a read/calculate-only endpoint, no trades are submitted as a side effect of either call; if it also submits orders, exactly one order set exists after two calls, not two</t>
  </si>
  <si>
    <t>TC-25</t>
  </si>
  <si>
    <t>Business Rule - Vesting</t>
  </si>
  <si>
    <t>Partial vesting should exclude unvested funds from the investable base</t>
  </si>
  <si>
    <t>Account ABC exists with $100,000 total assets at 80% vested. NOTE: vesting is now implemented in rebalancer.py (vested_pct parameter) as a design decision to make this test automatable -- the choice of applying target% to the vested base rather than the full account value still needs product/business sign-off.</t>
  </si>
  <si>
    <t>1. Run the rebalance calculation with vested_pct=80
2. Verify investable_base = 80% x total_assets, not the full total_assets
3. Verify the resulting share count is computed against that reduced base</t>
  </si>
  <si>
    <t>total_assets=$100,000, vested_pct=80 (investable base=$80,000); 1 security, target=100%, current=0%, price=$150</t>
  </si>
  <si>
    <t>investable_base = $80,000; BUY round($80,000 / $150) = 533 shares (not 667, which is what a full, unvested $100,000 base would produce)</t>
  </si>
  <si>
    <t>test_TC25_partial_vesting_reduces_investable_base, test_TC25b_full_vesting_is_the_default_and_backward_compatible, test_TC25c_invalid_vested_pct_raises_value_error</t>
  </si>
  <si>
    <t>Manual Test Case Summary — Account ABC Rebalancing Calculation</t>
  </si>
  <si>
    <t>Total Test Cases</t>
  </si>
  <si>
    <t>Automated</t>
  </si>
  <si>
    <t>Manual Only</t>
  </si>
  <si>
    <t>By Priority</t>
  </si>
  <si>
    <t>By Status</t>
  </si>
  <si>
    <t>Pass</t>
  </si>
  <si>
    <t>Fail</t>
  </si>
  <si>
    <t>Output-Correctness Coverage Note</t>
  </si>
  <si>
    <t>TC-01-16, 19, 20, 25 assert exact expected share counts (calculation layer, including vesting). TC-04-08, 12, 13 validate input handling / data integrity, not output value correctness. TC-17-18 (UI) and TC-21-24 (API) are manual-only by design decision: TC-17-18 because they're genuinely about a human looking at a screen; TC-21-24 because this project has no live API, and an earlier automated version (against a hand-built adapter) was deliberately reverted since testing a self-authored mock proves the mock consistent, not a real endpoint correct.</t>
  </si>
  <si>
    <t>Test Scenario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</si>
</sst>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sz val="10"/>
      <name val="Arial"/>
      <charset val="1"/>
    </font>
    <font>
      <b/>
      <sz val="13"/>
      <name val="Arial"/>
      <charset val="1"/>
    </font>
    <font>
      <b/>
      <sz val="11"/>
      <name val="Arial"/>
      <charset val="1"/>
    </font>
    <font>
      <i/>
      <sz val="9"/>
      <name val="Arial"/>
      <charset val="1"/>
    </font>
    <font>
      <b/>
      <sz val="12"/>
      <color rgb="FFFFFFFF"/>
      <name val="Calibri"/>
      <family val="2"/>
    </font>
    <font>
      <sz val="12"/>
      <color theme="1"/>
      <name val="Calibri"/>
      <family val="2"/>
    </font>
    <font>
      <sz val="12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CE4E4"/>
        <bgColor rgb="FFFFF4CE"/>
      </patternFill>
    </fill>
    <fill>
      <patternFill patternType="solid">
        <fgColor rgb="FFFFF4CE"/>
        <bgColor rgb="FFFCE4E4"/>
      </patternFill>
    </fill>
    <fill>
      <patternFill patternType="solid">
        <fgColor rgb="FFE2EFDA"/>
        <bgColor rgb="FFFFF4CE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4" fillId="0" borderId="0" xfId="0" applyFont="1" applyAlignment="1">
      <alignment vertical="top" wrapText="1"/>
    </xf>
    <xf numFmtId="0" fontId="2" fillId="0" borderId="0" xfId="0" applyFont="1"/>
    <xf numFmtId="0" fontId="1" fillId="0" borderId="0" xfId="0" applyFont="1"/>
    <xf numFmtId="0" fontId="3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0" borderId="0" xfId="0" applyFont="1"/>
    <xf numFmtId="0" fontId="7" fillId="0" borderId="1" xfId="0" applyFont="1" applyBorder="1" applyAlignment="1">
      <alignment horizontal="left" vertical="top" wrapText="1"/>
    </xf>
    <xf numFmtId="0" fontId="7" fillId="3" borderId="1" xfId="0" applyFont="1" applyFill="1" applyBorder="1" applyAlignment="1">
      <alignment horizontal="left" vertical="top" wrapText="1"/>
    </xf>
    <xf numFmtId="0" fontId="7" fillId="4" borderId="1" xfId="0" applyFont="1" applyFill="1" applyBorder="1" applyAlignment="1">
      <alignment horizontal="left" vertical="top" wrapText="1"/>
    </xf>
    <xf numFmtId="0" fontId="7" fillId="5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CE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"/>
  <sheetViews>
    <sheetView tabSelected="1" zoomScaleNormal="100" workbookViewId="0">
      <pane ySplit="1" topLeftCell="A2" activePane="bottomLeft" state="frozen"/>
      <selection pane="bottomLeft" activeCell="H26" sqref="H26"/>
    </sheetView>
  </sheetViews>
  <sheetFormatPr defaultColWidth="8.6328125" defaultRowHeight="15.5" x14ac:dyDescent="0.35"/>
  <cols>
    <col min="1" max="1" width="8" style="6" customWidth="1"/>
    <col min="2" max="2" width="22" style="6" customWidth="1"/>
    <col min="3" max="3" width="32" style="6" customWidth="1"/>
    <col min="4" max="4" width="10" style="6" customWidth="1"/>
    <col min="5" max="5" width="28" style="6" customWidth="1"/>
    <col min="6" max="6" width="34" style="6" customWidth="1"/>
    <col min="7" max="7" width="30" style="6" customWidth="1"/>
    <col min="8" max="8" width="40" style="6" customWidth="1"/>
    <col min="9" max="9" width="11" style="6" customWidth="1"/>
    <col min="10" max="10" width="30" style="6" customWidth="1"/>
    <col min="11" max="11" width="12" style="6" customWidth="1"/>
    <col min="12" max="12" width="26" style="6" customWidth="1"/>
    <col min="13" max="16384" width="8.6328125" style="6"/>
  </cols>
  <sheetData>
    <row r="1" spans="1:12" ht="23.25" customHeight="1" x14ac:dyDescent="0.35">
      <c r="A1" s="5" t="s">
        <v>0</v>
      </c>
      <c r="B1" s="5" t="s">
        <v>1</v>
      </c>
      <c r="C1" s="5" t="s">
        <v>204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</row>
    <row r="2" spans="1:12" ht="75" customHeight="1" x14ac:dyDescent="0.35">
      <c r="A2" s="7" t="s">
        <v>11</v>
      </c>
      <c r="B2" s="7" t="s">
        <v>12</v>
      </c>
      <c r="C2" s="7" t="s">
        <v>13</v>
      </c>
      <c r="D2" s="8" t="s">
        <v>14</v>
      </c>
      <c r="E2" s="7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  <c r="L2" s="7"/>
    </row>
    <row r="3" spans="1:12" ht="75" customHeight="1" x14ac:dyDescent="0.35">
      <c r="A3" s="7" t="s">
        <v>22</v>
      </c>
      <c r="B3" s="7" t="s">
        <v>23</v>
      </c>
      <c r="C3" s="7" t="s">
        <v>24</v>
      </c>
      <c r="D3" s="8" t="s">
        <v>14</v>
      </c>
      <c r="E3" s="7" t="s">
        <v>25</v>
      </c>
      <c r="F3" s="7" t="s">
        <v>26</v>
      </c>
      <c r="G3" s="7" t="s">
        <v>27</v>
      </c>
      <c r="H3" s="7" t="s">
        <v>28</v>
      </c>
      <c r="I3" s="7" t="s">
        <v>19</v>
      </c>
      <c r="J3" s="7" t="s">
        <v>29</v>
      </c>
      <c r="K3" s="7" t="s">
        <v>21</v>
      </c>
      <c r="L3" s="7"/>
    </row>
    <row r="4" spans="1:12" ht="75" customHeight="1" x14ac:dyDescent="0.35">
      <c r="A4" s="7" t="s">
        <v>30</v>
      </c>
      <c r="B4" s="7" t="s">
        <v>23</v>
      </c>
      <c r="C4" s="7" t="s">
        <v>31</v>
      </c>
      <c r="D4" s="9" t="s">
        <v>32</v>
      </c>
      <c r="E4" s="7" t="s">
        <v>33</v>
      </c>
      <c r="F4" s="7" t="s">
        <v>34</v>
      </c>
      <c r="G4" s="7" t="s">
        <v>35</v>
      </c>
      <c r="H4" s="7" t="s">
        <v>36</v>
      </c>
      <c r="I4" s="7" t="s">
        <v>19</v>
      </c>
      <c r="J4" s="7" t="s">
        <v>37</v>
      </c>
      <c r="K4" s="7" t="s">
        <v>21</v>
      </c>
      <c r="L4" s="7"/>
    </row>
    <row r="5" spans="1:12" ht="75" customHeight="1" x14ac:dyDescent="0.35">
      <c r="A5" s="7" t="s">
        <v>38</v>
      </c>
      <c r="B5" s="7" t="s">
        <v>39</v>
      </c>
      <c r="C5" s="7" t="s">
        <v>40</v>
      </c>
      <c r="D5" s="8" t="s">
        <v>14</v>
      </c>
      <c r="E5" s="7" t="s">
        <v>41</v>
      </c>
      <c r="F5" s="7" t="s">
        <v>42</v>
      </c>
      <c r="G5" s="7" t="s">
        <v>43</v>
      </c>
      <c r="H5" s="7" t="s">
        <v>44</v>
      </c>
      <c r="I5" s="7" t="s">
        <v>19</v>
      </c>
      <c r="J5" s="7" t="s">
        <v>45</v>
      </c>
      <c r="K5" s="7" t="s">
        <v>21</v>
      </c>
      <c r="L5" s="7"/>
    </row>
    <row r="6" spans="1:12" ht="75" customHeight="1" x14ac:dyDescent="0.35">
      <c r="A6" s="7" t="s">
        <v>46</v>
      </c>
      <c r="B6" s="7" t="s">
        <v>39</v>
      </c>
      <c r="C6" s="7" t="s">
        <v>47</v>
      </c>
      <c r="D6" s="8" t="s">
        <v>14</v>
      </c>
      <c r="E6" s="7" t="s">
        <v>41</v>
      </c>
      <c r="F6" s="7" t="s">
        <v>48</v>
      </c>
      <c r="G6" s="7" t="s">
        <v>49</v>
      </c>
      <c r="H6" s="7" t="s">
        <v>50</v>
      </c>
      <c r="I6" s="7" t="s">
        <v>19</v>
      </c>
      <c r="J6" s="7" t="s">
        <v>51</v>
      </c>
      <c r="K6" s="7" t="s">
        <v>21</v>
      </c>
      <c r="L6" s="7"/>
    </row>
    <row r="7" spans="1:12" ht="75" customHeight="1" x14ac:dyDescent="0.35">
      <c r="A7" s="7" t="s">
        <v>52</v>
      </c>
      <c r="B7" s="7" t="s">
        <v>39</v>
      </c>
      <c r="C7" s="7" t="s">
        <v>53</v>
      </c>
      <c r="D7" s="9" t="s">
        <v>32</v>
      </c>
      <c r="E7" s="7" t="s">
        <v>41</v>
      </c>
      <c r="F7" s="7" t="s">
        <v>54</v>
      </c>
      <c r="G7" s="7" t="s">
        <v>55</v>
      </c>
      <c r="H7" s="7" t="s">
        <v>56</v>
      </c>
      <c r="I7" s="7" t="s">
        <v>19</v>
      </c>
      <c r="J7" s="7" t="s">
        <v>57</v>
      </c>
      <c r="K7" s="7" t="s">
        <v>21</v>
      </c>
      <c r="L7" s="7"/>
    </row>
    <row r="8" spans="1:12" ht="75" customHeight="1" x14ac:dyDescent="0.35">
      <c r="A8" s="7" t="s">
        <v>58</v>
      </c>
      <c r="B8" s="7" t="s">
        <v>59</v>
      </c>
      <c r="C8" s="7" t="s">
        <v>60</v>
      </c>
      <c r="D8" s="9" t="s">
        <v>32</v>
      </c>
      <c r="E8" s="7" t="s">
        <v>41</v>
      </c>
      <c r="F8" s="7" t="s">
        <v>61</v>
      </c>
      <c r="G8" s="7" t="s">
        <v>62</v>
      </c>
      <c r="H8" s="7" t="s">
        <v>63</v>
      </c>
      <c r="I8" s="7" t="s">
        <v>19</v>
      </c>
      <c r="J8" s="7" t="s">
        <v>64</v>
      </c>
      <c r="K8" s="7" t="s">
        <v>21</v>
      </c>
      <c r="L8" s="7"/>
    </row>
    <row r="9" spans="1:12" ht="75" customHeight="1" x14ac:dyDescent="0.35">
      <c r="A9" s="7" t="s">
        <v>65</v>
      </c>
      <c r="B9" s="7" t="s">
        <v>59</v>
      </c>
      <c r="C9" s="7" t="s">
        <v>66</v>
      </c>
      <c r="D9" s="9" t="s">
        <v>32</v>
      </c>
      <c r="E9" s="7" t="s">
        <v>41</v>
      </c>
      <c r="F9" s="7" t="s">
        <v>67</v>
      </c>
      <c r="G9" s="7" t="s">
        <v>68</v>
      </c>
      <c r="H9" s="7" t="s">
        <v>69</v>
      </c>
      <c r="I9" s="7" t="s">
        <v>19</v>
      </c>
      <c r="J9" s="7" t="s">
        <v>70</v>
      </c>
      <c r="K9" s="7" t="s">
        <v>21</v>
      </c>
      <c r="L9" s="7"/>
    </row>
    <row r="10" spans="1:12" ht="75" customHeight="1" x14ac:dyDescent="0.35">
      <c r="A10" s="7" t="s">
        <v>71</v>
      </c>
      <c r="B10" s="7" t="s">
        <v>23</v>
      </c>
      <c r="C10" s="7" t="s">
        <v>72</v>
      </c>
      <c r="D10" s="9" t="s">
        <v>32</v>
      </c>
      <c r="E10" s="7" t="s">
        <v>73</v>
      </c>
      <c r="F10" s="7" t="s">
        <v>74</v>
      </c>
      <c r="G10" s="7" t="s">
        <v>75</v>
      </c>
      <c r="H10" s="7" t="s">
        <v>76</v>
      </c>
      <c r="I10" s="7" t="s">
        <v>19</v>
      </c>
      <c r="J10" s="7" t="s">
        <v>77</v>
      </c>
      <c r="K10" s="7" t="s">
        <v>21</v>
      </c>
      <c r="L10" s="7"/>
    </row>
    <row r="11" spans="1:12" ht="75" customHeight="1" x14ac:dyDescent="0.35">
      <c r="A11" s="7" t="s">
        <v>78</v>
      </c>
      <c r="B11" s="7" t="s">
        <v>79</v>
      </c>
      <c r="C11" s="7" t="s">
        <v>80</v>
      </c>
      <c r="D11" s="8" t="s">
        <v>14</v>
      </c>
      <c r="E11" s="7" t="s">
        <v>41</v>
      </c>
      <c r="F11" s="7" t="s">
        <v>81</v>
      </c>
      <c r="G11" s="7" t="s">
        <v>82</v>
      </c>
      <c r="H11" s="7" t="s">
        <v>83</v>
      </c>
      <c r="I11" s="7" t="s">
        <v>19</v>
      </c>
      <c r="J11" s="7" t="s">
        <v>84</v>
      </c>
      <c r="K11" s="7" t="s">
        <v>21</v>
      </c>
      <c r="L11" s="7"/>
    </row>
    <row r="12" spans="1:12" ht="75" customHeight="1" x14ac:dyDescent="0.35">
      <c r="A12" s="7" t="s">
        <v>85</v>
      </c>
      <c r="B12" s="7" t="s">
        <v>86</v>
      </c>
      <c r="C12" s="7" t="s">
        <v>87</v>
      </c>
      <c r="D12" s="9" t="s">
        <v>32</v>
      </c>
      <c r="E12" s="7" t="s">
        <v>88</v>
      </c>
      <c r="F12" s="7" t="s">
        <v>89</v>
      </c>
      <c r="G12" s="7" t="s">
        <v>90</v>
      </c>
      <c r="H12" s="7" t="s">
        <v>91</v>
      </c>
      <c r="I12" s="7" t="s">
        <v>19</v>
      </c>
      <c r="J12" s="7" t="s">
        <v>92</v>
      </c>
      <c r="K12" s="7" t="s">
        <v>21</v>
      </c>
      <c r="L12" s="7"/>
    </row>
    <row r="13" spans="1:12" ht="75" customHeight="1" x14ac:dyDescent="0.35">
      <c r="A13" s="7" t="s">
        <v>93</v>
      </c>
      <c r="B13" s="7" t="s">
        <v>39</v>
      </c>
      <c r="C13" s="7" t="s">
        <v>94</v>
      </c>
      <c r="D13" s="9" t="s">
        <v>32</v>
      </c>
      <c r="E13" s="7" t="s">
        <v>41</v>
      </c>
      <c r="F13" s="7" t="s">
        <v>95</v>
      </c>
      <c r="G13" s="7" t="s">
        <v>96</v>
      </c>
      <c r="H13" s="7" t="s">
        <v>97</v>
      </c>
      <c r="I13" s="7" t="s">
        <v>19</v>
      </c>
      <c r="J13" s="7" t="s">
        <v>98</v>
      </c>
      <c r="K13" s="7" t="s">
        <v>21</v>
      </c>
      <c r="L13" s="7"/>
    </row>
    <row r="14" spans="1:12" ht="75" customHeight="1" x14ac:dyDescent="0.35">
      <c r="A14" s="7" t="s">
        <v>99</v>
      </c>
      <c r="B14" s="7" t="s">
        <v>86</v>
      </c>
      <c r="C14" s="7" t="s">
        <v>100</v>
      </c>
      <c r="D14" s="10" t="s">
        <v>101</v>
      </c>
      <c r="E14" s="7" t="s">
        <v>102</v>
      </c>
      <c r="F14" s="7" t="s">
        <v>103</v>
      </c>
      <c r="G14" s="7" t="s">
        <v>104</v>
      </c>
      <c r="H14" s="7" t="s">
        <v>105</v>
      </c>
      <c r="I14" s="7" t="s">
        <v>19</v>
      </c>
      <c r="J14" s="7" t="s">
        <v>106</v>
      </c>
      <c r="K14" s="7" t="s">
        <v>21</v>
      </c>
      <c r="L14" s="7"/>
    </row>
    <row r="15" spans="1:12" ht="75" customHeight="1" x14ac:dyDescent="0.35">
      <c r="A15" s="7" t="s">
        <v>107</v>
      </c>
      <c r="B15" s="7" t="s">
        <v>108</v>
      </c>
      <c r="C15" s="7" t="s">
        <v>109</v>
      </c>
      <c r="D15" s="10" t="s">
        <v>101</v>
      </c>
      <c r="E15" s="7" t="s">
        <v>110</v>
      </c>
      <c r="F15" s="7" t="s">
        <v>111</v>
      </c>
      <c r="G15" s="7" t="s">
        <v>112</v>
      </c>
      <c r="H15" s="7" t="s">
        <v>113</v>
      </c>
      <c r="I15" s="7" t="s">
        <v>19</v>
      </c>
      <c r="J15" s="7" t="s">
        <v>114</v>
      </c>
      <c r="K15" s="7" t="s">
        <v>21</v>
      </c>
      <c r="L15" s="7"/>
    </row>
    <row r="16" spans="1:12" ht="75" customHeight="1" x14ac:dyDescent="0.35">
      <c r="A16" s="7" t="s">
        <v>115</v>
      </c>
      <c r="B16" s="7" t="s">
        <v>116</v>
      </c>
      <c r="C16" s="7" t="s">
        <v>117</v>
      </c>
      <c r="D16" s="9" t="s">
        <v>32</v>
      </c>
      <c r="E16" s="7" t="s">
        <v>118</v>
      </c>
      <c r="F16" s="7" t="s">
        <v>119</v>
      </c>
      <c r="G16" s="7" t="s">
        <v>120</v>
      </c>
      <c r="H16" s="7" t="s">
        <v>121</v>
      </c>
      <c r="I16" s="7" t="s">
        <v>19</v>
      </c>
      <c r="J16" s="7" t="s">
        <v>122</v>
      </c>
      <c r="K16" s="7" t="s">
        <v>21</v>
      </c>
      <c r="L16" s="7"/>
    </row>
    <row r="17" spans="1:12" ht="75" customHeight="1" x14ac:dyDescent="0.35">
      <c r="A17" s="7" t="s">
        <v>123</v>
      </c>
      <c r="B17" s="7" t="s">
        <v>124</v>
      </c>
      <c r="C17" s="7" t="s">
        <v>125</v>
      </c>
      <c r="D17" s="8" t="s">
        <v>14</v>
      </c>
      <c r="E17" s="7" t="s">
        <v>41</v>
      </c>
      <c r="F17" s="7" t="s">
        <v>126</v>
      </c>
      <c r="G17" s="7" t="s">
        <v>127</v>
      </c>
      <c r="H17" s="7" t="s">
        <v>128</v>
      </c>
      <c r="I17" s="7" t="s">
        <v>19</v>
      </c>
      <c r="J17" s="7" t="s">
        <v>129</v>
      </c>
      <c r="K17" s="7" t="s">
        <v>21</v>
      </c>
      <c r="L17" s="7"/>
    </row>
    <row r="18" spans="1:12" ht="75" customHeight="1" x14ac:dyDescent="0.35">
      <c r="A18" s="7" t="s">
        <v>130</v>
      </c>
      <c r="B18" s="7" t="s">
        <v>131</v>
      </c>
      <c r="C18" s="7" t="s">
        <v>132</v>
      </c>
      <c r="D18" s="10" t="s">
        <v>101</v>
      </c>
      <c r="E18" s="7" t="s">
        <v>133</v>
      </c>
      <c r="F18" s="7" t="s">
        <v>134</v>
      </c>
      <c r="G18" s="7" t="s">
        <v>135</v>
      </c>
      <c r="H18" s="7" t="s">
        <v>136</v>
      </c>
      <c r="I18" s="7" t="s">
        <v>137</v>
      </c>
      <c r="J18" s="7" t="s">
        <v>138</v>
      </c>
      <c r="K18" s="7" t="s">
        <v>21</v>
      </c>
      <c r="L18" s="7"/>
    </row>
    <row r="19" spans="1:12" ht="75" customHeight="1" x14ac:dyDescent="0.35">
      <c r="A19" s="7" t="s">
        <v>139</v>
      </c>
      <c r="B19" s="7" t="s">
        <v>131</v>
      </c>
      <c r="C19" s="7" t="s">
        <v>140</v>
      </c>
      <c r="D19" s="9" t="s">
        <v>32</v>
      </c>
      <c r="E19" s="7" t="s">
        <v>141</v>
      </c>
      <c r="F19" s="7" t="s">
        <v>142</v>
      </c>
      <c r="G19" s="7" t="s">
        <v>143</v>
      </c>
      <c r="H19" s="7" t="s">
        <v>144</v>
      </c>
      <c r="I19" s="7" t="s">
        <v>137</v>
      </c>
      <c r="J19" s="7" t="s">
        <v>145</v>
      </c>
      <c r="K19" s="7" t="s">
        <v>21</v>
      </c>
      <c r="L19" s="7"/>
    </row>
    <row r="20" spans="1:12" ht="75" customHeight="1" x14ac:dyDescent="0.35">
      <c r="A20" s="7" t="s">
        <v>146</v>
      </c>
      <c r="B20" s="7" t="s">
        <v>12</v>
      </c>
      <c r="C20" s="7" t="s">
        <v>147</v>
      </c>
      <c r="D20" s="8" t="s">
        <v>14</v>
      </c>
      <c r="E20" s="7" t="s">
        <v>148</v>
      </c>
      <c r="F20" s="7" t="s">
        <v>149</v>
      </c>
      <c r="G20" s="7" t="s">
        <v>150</v>
      </c>
      <c r="H20" s="7" t="s">
        <v>151</v>
      </c>
      <c r="I20" s="7" t="s">
        <v>19</v>
      </c>
      <c r="J20" s="7" t="s">
        <v>152</v>
      </c>
      <c r="K20" s="7" t="s">
        <v>21</v>
      </c>
      <c r="L20" s="7"/>
    </row>
    <row r="21" spans="1:12" ht="75" customHeight="1" x14ac:dyDescent="0.35">
      <c r="A21" s="7" t="s">
        <v>153</v>
      </c>
      <c r="B21" s="7" t="s">
        <v>154</v>
      </c>
      <c r="C21" s="7" t="s">
        <v>155</v>
      </c>
      <c r="D21" s="8" t="s">
        <v>14</v>
      </c>
      <c r="E21" s="7" t="s">
        <v>156</v>
      </c>
      <c r="F21" s="7" t="s">
        <v>157</v>
      </c>
      <c r="G21" s="7" t="s">
        <v>158</v>
      </c>
      <c r="H21" s="7" t="s">
        <v>159</v>
      </c>
      <c r="I21" s="7" t="s">
        <v>19</v>
      </c>
      <c r="J21" s="7" t="s">
        <v>160</v>
      </c>
      <c r="K21" s="7" t="s">
        <v>21</v>
      </c>
      <c r="L21" s="7"/>
    </row>
    <row r="22" spans="1:12" ht="75" customHeight="1" x14ac:dyDescent="0.35">
      <c r="A22" s="7" t="s">
        <v>161</v>
      </c>
      <c r="B22" s="7" t="s">
        <v>162</v>
      </c>
      <c r="C22" s="7" t="s">
        <v>163</v>
      </c>
      <c r="D22" s="8" t="s">
        <v>14</v>
      </c>
      <c r="E22" s="7" t="s">
        <v>164</v>
      </c>
      <c r="F22" s="7" t="s">
        <v>165</v>
      </c>
      <c r="G22" s="7" t="s">
        <v>166</v>
      </c>
      <c r="H22" s="7" t="s">
        <v>167</v>
      </c>
      <c r="I22" s="7" t="s">
        <v>137</v>
      </c>
      <c r="J22" s="7" t="s">
        <v>168</v>
      </c>
      <c r="K22" s="7" t="s">
        <v>169</v>
      </c>
      <c r="L22" s="7"/>
    </row>
    <row r="23" spans="1:12" ht="75" customHeight="1" x14ac:dyDescent="0.35">
      <c r="A23" s="7" t="s">
        <v>170</v>
      </c>
      <c r="B23" s="7" t="s">
        <v>162</v>
      </c>
      <c r="C23" s="7" t="s">
        <v>171</v>
      </c>
      <c r="D23" s="8" t="s">
        <v>14</v>
      </c>
      <c r="E23" s="7" t="s">
        <v>172</v>
      </c>
      <c r="F23" s="7" t="s">
        <v>173</v>
      </c>
      <c r="G23" s="7" t="s">
        <v>174</v>
      </c>
      <c r="H23" s="7" t="s">
        <v>175</v>
      </c>
      <c r="I23" s="7" t="s">
        <v>137</v>
      </c>
      <c r="J23" s="7" t="s">
        <v>168</v>
      </c>
      <c r="K23" s="7" t="s">
        <v>169</v>
      </c>
      <c r="L23" s="7"/>
    </row>
    <row r="24" spans="1:12" ht="75" customHeight="1" x14ac:dyDescent="0.35">
      <c r="A24" s="7" t="s">
        <v>176</v>
      </c>
      <c r="B24" s="7" t="s">
        <v>162</v>
      </c>
      <c r="C24" s="7" t="s">
        <v>177</v>
      </c>
      <c r="D24" s="9" t="s">
        <v>32</v>
      </c>
      <c r="E24" s="7" t="s">
        <v>172</v>
      </c>
      <c r="F24" s="7" t="s">
        <v>178</v>
      </c>
      <c r="G24" s="7" t="s">
        <v>179</v>
      </c>
      <c r="H24" s="7" t="s">
        <v>180</v>
      </c>
      <c r="I24" s="7" t="s">
        <v>137</v>
      </c>
      <c r="J24" s="7" t="s">
        <v>168</v>
      </c>
      <c r="K24" s="7" t="s">
        <v>169</v>
      </c>
      <c r="L24" s="7"/>
    </row>
    <row r="25" spans="1:12" ht="75" customHeight="1" x14ac:dyDescent="0.35">
      <c r="A25" s="7" t="s">
        <v>181</v>
      </c>
      <c r="B25" s="7" t="s">
        <v>162</v>
      </c>
      <c r="C25" s="7" t="s">
        <v>182</v>
      </c>
      <c r="D25" s="9" t="s">
        <v>32</v>
      </c>
      <c r="E25" s="7" t="s">
        <v>172</v>
      </c>
      <c r="F25" s="7" t="s">
        <v>183</v>
      </c>
      <c r="G25" s="7" t="s">
        <v>184</v>
      </c>
      <c r="H25" s="7" t="s">
        <v>185</v>
      </c>
      <c r="I25" s="7" t="s">
        <v>137</v>
      </c>
      <c r="J25" s="7" t="s">
        <v>168</v>
      </c>
      <c r="K25" s="7" t="s">
        <v>169</v>
      </c>
      <c r="L25" s="7"/>
    </row>
    <row r="26" spans="1:12" ht="75" customHeight="1" x14ac:dyDescent="0.35">
      <c r="A26" s="7" t="s">
        <v>186</v>
      </c>
      <c r="B26" s="7" t="s">
        <v>187</v>
      </c>
      <c r="C26" s="7" t="s">
        <v>188</v>
      </c>
      <c r="D26" s="9" t="s">
        <v>32</v>
      </c>
      <c r="E26" s="7" t="s">
        <v>189</v>
      </c>
      <c r="F26" s="7" t="s">
        <v>190</v>
      </c>
      <c r="G26" s="7" t="s">
        <v>191</v>
      </c>
      <c r="H26" s="7" t="s">
        <v>192</v>
      </c>
      <c r="I26" s="7" t="s">
        <v>19</v>
      </c>
      <c r="J26" s="7" t="s">
        <v>193</v>
      </c>
      <c r="K26" s="7" t="s">
        <v>21</v>
      </c>
      <c r="L26" s="7"/>
    </row>
  </sheetData>
  <dataValidations count="2">
    <dataValidation type="list" allowBlank="1" sqref="K2:K26" xr:uid="{00000000-0002-0000-0000-000000000000}">
      <formula1>"Not Run,Pass,Fail,Blocked"</formula1>
      <formula2>0</formula2>
    </dataValidation>
    <dataValidation type="list" allowBlank="1" sqref="I2:I26" xr:uid="{00000000-0002-0000-0000-000001000000}">
      <formula1>"Y,N"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8"/>
  <sheetViews>
    <sheetView zoomScaleNormal="100" workbookViewId="0"/>
  </sheetViews>
  <sheetFormatPr defaultColWidth="8.6328125" defaultRowHeight="14.5" x14ac:dyDescent="0.35"/>
  <cols>
    <col min="1" max="1" width="22" customWidth="1"/>
    <col min="2" max="2" width="10" customWidth="1"/>
  </cols>
  <sheetData>
    <row r="1" spans="1:3" ht="15.75" customHeight="1" x14ac:dyDescent="0.35">
      <c r="A1" s="2" t="s">
        <v>194</v>
      </c>
      <c r="B1" s="2"/>
      <c r="C1" s="2"/>
    </row>
    <row r="3" spans="1:3" ht="15" customHeight="1" x14ac:dyDescent="0.35">
      <c r="A3" s="3" t="s">
        <v>195</v>
      </c>
      <c r="B3" s="3">
        <f>COUNTA('Test Cases'!A2:A100)</f>
        <v>25</v>
      </c>
    </row>
    <row r="4" spans="1:3" ht="15" customHeight="1" x14ac:dyDescent="0.35">
      <c r="A4" s="3" t="s">
        <v>196</v>
      </c>
      <c r="B4" s="3">
        <f>COUNTIF('Test Cases'!I2:I100,"Y")</f>
        <v>19</v>
      </c>
    </row>
    <row r="5" spans="1:3" ht="15" customHeight="1" x14ac:dyDescent="0.35">
      <c r="A5" s="3" t="s">
        <v>197</v>
      </c>
      <c r="B5" s="3">
        <f>COUNTIF('Test Cases'!I2:I100,"N")</f>
        <v>6</v>
      </c>
    </row>
    <row r="6" spans="1:3" ht="15" customHeight="1" x14ac:dyDescent="0.35">
      <c r="A6" s="3"/>
      <c r="B6" s="3"/>
    </row>
    <row r="7" spans="1:3" ht="15" customHeight="1" x14ac:dyDescent="0.35">
      <c r="A7" s="3" t="s">
        <v>198</v>
      </c>
      <c r="B7" s="3"/>
    </row>
    <row r="8" spans="1:3" ht="15" customHeight="1" x14ac:dyDescent="0.35">
      <c r="A8" s="3" t="s">
        <v>14</v>
      </c>
      <c r="B8" s="3">
        <f>COUNTIF('Test Cases'!D2:D100,"High")</f>
        <v>10</v>
      </c>
    </row>
    <row r="9" spans="1:3" ht="15" customHeight="1" x14ac:dyDescent="0.35">
      <c r="A9" s="3" t="s">
        <v>32</v>
      </c>
      <c r="B9" s="3">
        <f>COUNTIF('Test Cases'!D2:D100,"Medium")</f>
        <v>12</v>
      </c>
    </row>
    <row r="10" spans="1:3" ht="15" customHeight="1" x14ac:dyDescent="0.35">
      <c r="A10" s="3" t="s">
        <v>101</v>
      </c>
      <c r="B10" s="3">
        <f>COUNTIF('Test Cases'!D2:D100,"Low")</f>
        <v>3</v>
      </c>
    </row>
    <row r="11" spans="1:3" ht="15" customHeight="1" x14ac:dyDescent="0.35">
      <c r="A11" s="3"/>
      <c r="B11" s="3"/>
    </row>
    <row r="12" spans="1:3" ht="15" customHeight="1" x14ac:dyDescent="0.35">
      <c r="A12" s="3" t="s">
        <v>199</v>
      </c>
      <c r="B12" s="3"/>
    </row>
    <row r="13" spans="1:3" ht="15" customHeight="1" x14ac:dyDescent="0.35">
      <c r="A13" s="3" t="s">
        <v>21</v>
      </c>
      <c r="B13" s="3">
        <f>COUNTIF('Test Cases'!K2:K100,"Not Run")</f>
        <v>21</v>
      </c>
    </row>
    <row r="14" spans="1:3" ht="15" customHeight="1" x14ac:dyDescent="0.35">
      <c r="A14" s="3" t="s">
        <v>200</v>
      </c>
      <c r="B14" s="3">
        <f>COUNTIF('Test Cases'!K2:K100,"Pass")</f>
        <v>0</v>
      </c>
    </row>
    <row r="15" spans="1:3" ht="15" customHeight="1" x14ac:dyDescent="0.35">
      <c r="A15" s="3" t="s">
        <v>201</v>
      </c>
      <c r="B15" s="3">
        <f>COUNTIF('Test Cases'!K2:K100,"Fail")</f>
        <v>0</v>
      </c>
    </row>
    <row r="16" spans="1:3" ht="15" customHeight="1" x14ac:dyDescent="0.35">
      <c r="A16" s="3" t="s">
        <v>169</v>
      </c>
      <c r="B16" s="3">
        <f>COUNTIF('Test Cases'!K2:K100,"Blocked")</f>
        <v>4</v>
      </c>
    </row>
    <row r="17" spans="1:3" ht="15" customHeight="1" x14ac:dyDescent="0.35">
      <c r="A17" s="4" t="s">
        <v>202</v>
      </c>
    </row>
    <row r="18" spans="1:3" ht="60" customHeight="1" x14ac:dyDescent="0.35">
      <c r="A18" s="1" t="s">
        <v>203</v>
      </c>
      <c r="B18" s="1"/>
      <c r="C18" s="1"/>
    </row>
  </sheetData>
  <mergeCells count="2">
    <mergeCell ref="A1:C1"/>
    <mergeCell ref="A18:C1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kiruthiga nadaraja</cp:lastModifiedBy>
  <cp:revision>0</cp:revision>
  <dcterms:created xsi:type="dcterms:W3CDTF">2026-09-08T17:42:10Z</dcterms:created>
  <dcterms:modified xsi:type="dcterms:W3CDTF">2026-09-09T03:09:03Z</dcterms:modified>
  <dc:language>en-US</dc:language>
</cp:coreProperties>
</file>